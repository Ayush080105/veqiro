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7338AF3-7441-4412-A7F9-7BC95A3650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TD" sheetId="2" r:id="rId1"/>
  </sheets>
  <definedNames>
    <definedName name="_xlnm.Print_Titles" localSheetId="0">PTD!$3:$4</definedName>
  </definedNames>
  <calcPr calcId="191029"/>
</workbook>
</file>

<file path=xl/calcChain.xml><?xml version="1.0" encoding="utf-8"?>
<calcChain xmlns="http://schemas.openxmlformats.org/spreadsheetml/2006/main">
  <c r="G89" i="2" l="1"/>
  <c r="G88" i="2"/>
  <c r="G87" i="2"/>
  <c r="G83" i="2"/>
  <c r="G82" i="2"/>
  <c r="G80" i="2"/>
  <c r="G78" i="2"/>
  <c r="G56" i="2"/>
  <c r="G55" i="2"/>
  <c r="G53" i="2"/>
  <c r="G49" i="2"/>
  <c r="G48" i="2"/>
  <c r="G45" i="2"/>
  <c r="G43" i="2"/>
  <c r="G38" i="2"/>
  <c r="G32" i="2"/>
  <c r="G26" i="2"/>
  <c r="G22" i="2"/>
  <c r="G20" i="2"/>
  <c r="G18" i="2"/>
  <c r="G13" i="2"/>
  <c r="G12" i="2"/>
  <c r="G8" i="2"/>
  <c r="G6" i="2"/>
  <c r="G5" i="2"/>
  <c r="G7" i="2"/>
  <c r="G9" i="2"/>
  <c r="G10" i="2"/>
  <c r="G11" i="2"/>
  <c r="G14" i="2"/>
  <c r="G15" i="2"/>
  <c r="G16" i="2"/>
  <c r="G17" i="2"/>
  <c r="G19" i="2"/>
  <c r="G21" i="2"/>
  <c r="G23" i="2"/>
  <c r="G24" i="2"/>
  <c r="G25" i="2"/>
  <c r="G27" i="2"/>
  <c r="G28" i="2"/>
  <c r="G29" i="2"/>
  <c r="G30" i="2"/>
  <c r="G31" i="2"/>
  <c r="G33" i="2"/>
  <c r="G34" i="2"/>
  <c r="G35" i="2"/>
  <c r="G36" i="2"/>
  <c r="G37" i="2"/>
  <c r="G39" i="2"/>
  <c r="G40" i="2"/>
  <c r="G41" i="2"/>
  <c r="G42" i="2"/>
  <c r="G44" i="2"/>
  <c r="G46" i="2"/>
  <c r="G47" i="2"/>
  <c r="G50" i="2"/>
  <c r="G51" i="2"/>
  <c r="G52" i="2"/>
  <c r="G54" i="2"/>
  <c r="G57" i="2"/>
  <c r="G58" i="2"/>
  <c r="G59" i="2"/>
  <c r="G60" i="2"/>
  <c r="G61" i="2"/>
  <c r="G63" i="2"/>
  <c r="G64" i="2"/>
  <c r="G65" i="2"/>
  <c r="G67" i="2"/>
  <c r="G68" i="2"/>
  <c r="G69" i="2"/>
  <c r="G70" i="2"/>
  <c r="G71" i="2"/>
  <c r="G72" i="2"/>
  <c r="G73" i="2"/>
  <c r="G74" i="2"/>
  <c r="G75" i="2"/>
  <c r="G76" i="2"/>
  <c r="G77" i="2"/>
  <c r="G79" i="2"/>
  <c r="G81" i="2"/>
  <c r="G84" i="2"/>
  <c r="G85" i="2"/>
  <c r="G86" i="2"/>
  <c r="G90" i="2"/>
  <c r="G91" i="2"/>
  <c r="G92" i="2"/>
</calcChain>
</file>

<file path=xl/sharedStrings.xml><?xml version="1.0" encoding="utf-8"?>
<sst xmlns="http://schemas.openxmlformats.org/spreadsheetml/2006/main" count="277" uniqueCount="194">
  <si>
    <t>Kalpraj Techno Fab Pvt. Ltd. Mandideep</t>
  </si>
  <si>
    <t>S. No.</t>
  </si>
  <si>
    <t>Name of Product</t>
  </si>
  <si>
    <t xml:space="preserve">Rate </t>
  </si>
  <si>
    <t>Generic Name</t>
  </si>
  <si>
    <t>Brand Name</t>
  </si>
  <si>
    <t xml:space="preserve">Aceclofenac (100mg) and Paracetamol (325mg) Tablets IH </t>
  </si>
  <si>
    <t>Aceclofenac Tablets IP 100mg</t>
  </si>
  <si>
    <t>Atorvastatin Tablets IP 40mg</t>
  </si>
  <si>
    <t>Atorkal 40</t>
  </si>
  <si>
    <t>Atorvastatin Tablets IP 10mg</t>
  </si>
  <si>
    <t>Azithromycin Tablets IP 250mg</t>
  </si>
  <si>
    <t>Azithromycin Tablets IP 500mg</t>
  </si>
  <si>
    <t>AZIKAL 500</t>
  </si>
  <si>
    <t>Ciprofloxacin Tablets IP 250mg</t>
  </si>
  <si>
    <t xml:space="preserve">Ciprokal 250 </t>
  </si>
  <si>
    <t>Ciprofloxacin Tablets IP 500mg</t>
  </si>
  <si>
    <t>Citicoline Tablets IP 500mg</t>
  </si>
  <si>
    <t>Citikal 500</t>
  </si>
  <si>
    <t>Clinidipine Tablets IP 5mg</t>
  </si>
  <si>
    <t xml:space="preserve">Cilakal 5 </t>
  </si>
  <si>
    <t>Clinidipine Tablets IP 10mg</t>
  </si>
  <si>
    <t>Cilakal 10</t>
  </si>
  <si>
    <t>Diclofenac Sodium 50mg and Paracetamol 325mg Tablet IP</t>
  </si>
  <si>
    <t>Dicyclomine and Mefenamic Acid Tablets IP</t>
  </si>
  <si>
    <t>Mefkal Spas</t>
  </si>
  <si>
    <t>Enalapril Tablets 5mg</t>
  </si>
  <si>
    <t>Enalakal 5</t>
  </si>
  <si>
    <t>Enalapril maleate Tablets IP 10mg</t>
  </si>
  <si>
    <t>Enalakal 10</t>
  </si>
  <si>
    <t>Etoricoxib Tablets 120mg</t>
  </si>
  <si>
    <t>Etoricoxib Tablets 60mg</t>
  </si>
  <si>
    <t>Etoxikal 90</t>
  </si>
  <si>
    <t>Fexofenadine Tablets IP 120mg</t>
  </si>
  <si>
    <t>Faxokal 120</t>
  </si>
  <si>
    <t>Fexofenadine Tablets IP 180mg</t>
  </si>
  <si>
    <t>Fexokal 180</t>
  </si>
  <si>
    <t>Glimepiride 1mg and Metformin 500mg Tablets IP</t>
  </si>
  <si>
    <t>Kalformin G1</t>
  </si>
  <si>
    <t>Glimepiride 2mg and Metformin 500mg Tablets IP</t>
  </si>
  <si>
    <t>Kalformin G2</t>
  </si>
  <si>
    <t>Levocetirizine Tablets IP 5mg</t>
  </si>
  <si>
    <t>Levofloxacin Tablets IP 500mg</t>
  </si>
  <si>
    <t>Lefloxacin 500</t>
  </si>
  <si>
    <t>Linezolid Tablets IP 600mg</t>
  </si>
  <si>
    <t>Lizokal 600</t>
  </si>
  <si>
    <t>Losartan 50mg and Hydrochlorothiazide 12.5mg Tablets IP</t>
  </si>
  <si>
    <t>Losakal H</t>
  </si>
  <si>
    <t>Mecobalamin 750mcg and Pregabalin 75mg Capsule IP</t>
  </si>
  <si>
    <t>Montelukast (10mg) and Levocetrizine (5mg) Tablets IP</t>
  </si>
  <si>
    <t>Levokal-M</t>
  </si>
  <si>
    <t>Montelukast Tablets IP 10mg</t>
  </si>
  <si>
    <t>Dailymont 10</t>
  </si>
  <si>
    <t>Nebivolol Tablets IP 5mg</t>
  </si>
  <si>
    <t>Nebikal 5</t>
  </si>
  <si>
    <t>Nicorandil Tablets IP 5mg</t>
  </si>
  <si>
    <t>Nicokal 5</t>
  </si>
  <si>
    <t>Nifekal 10</t>
  </si>
  <si>
    <t xml:space="preserve">Ofloxacin 200mg and Ornidazole 500mg Tablet IP </t>
  </si>
  <si>
    <t>Offlokal-O</t>
  </si>
  <si>
    <t>Ofloxacin Tablets IP 200 mg</t>
  </si>
  <si>
    <t>Offlokal 200</t>
  </si>
  <si>
    <t>Pantoprazole 40mg and Domperidone 30mg Capsules</t>
  </si>
  <si>
    <t xml:space="preserve">Paracetamol Tablets IP (500mg) </t>
  </si>
  <si>
    <t>Kalo-P</t>
  </si>
  <si>
    <t xml:space="preserve">Rabeprazole (EC) and Domperidone (SR) Capsule IH (20 mg /30 mg) </t>
  </si>
  <si>
    <t>Rabekal-DSR</t>
  </si>
  <si>
    <t>Rabeprazole Tablets IP 20 mg</t>
  </si>
  <si>
    <t>Ramipril Tablets IP 5mg</t>
  </si>
  <si>
    <t>Ramikal 5</t>
  </si>
  <si>
    <t>Rosuvastatin Tablets IP 10mg</t>
  </si>
  <si>
    <t>Rosuvastatin Tablets IP 20mg</t>
  </si>
  <si>
    <t>RosuKal 20</t>
  </si>
  <si>
    <t>Solifenacin Tablets IP 10mg</t>
  </si>
  <si>
    <t>Solikal 10</t>
  </si>
  <si>
    <t>Telimasratn 40mg and Amlodipine 5mg Tablets IP</t>
  </si>
  <si>
    <t>Telmikal AM</t>
  </si>
  <si>
    <t>Telmisaratn Tablets IP 40mg</t>
  </si>
  <si>
    <t>Telmikal 40</t>
  </si>
  <si>
    <t>Telmisaratn Tablets IP 80mg</t>
  </si>
  <si>
    <t>Telmikal 80</t>
  </si>
  <si>
    <t>Vitamin B complex with Vitamin B 12 Tablets IH
(For Prophylactic Use)</t>
  </si>
  <si>
    <t>Neurokal</t>
  </si>
  <si>
    <t>Vitamin B complex with Vitamin B 12 Tablets IH
(For Therapeutic Use)</t>
  </si>
  <si>
    <t>Neurokal Forte</t>
  </si>
  <si>
    <t>Levetiracetam 500mg</t>
  </si>
  <si>
    <t>Ramipril Tablets IP 10mg</t>
  </si>
  <si>
    <t>Diclofenac Sodium 50mg Tablets IP</t>
  </si>
  <si>
    <t>Pantoprazole Tablets IP 40mg</t>
  </si>
  <si>
    <t>Pantokal 40</t>
  </si>
  <si>
    <t>118.1/10 tab</t>
  </si>
  <si>
    <t>packing</t>
  </si>
  <si>
    <t>20*10</t>
  </si>
  <si>
    <t>10*10</t>
  </si>
  <si>
    <t>Ciprokal 500 (A/A)</t>
  </si>
  <si>
    <t xml:space="preserve">Ciprokal 500  BILISTER </t>
  </si>
  <si>
    <t>AZIKAL 250 (A/A)</t>
  </si>
  <si>
    <t>Fastokal 100 (A/A)</t>
  </si>
  <si>
    <t>RATE</t>
  </si>
  <si>
    <t>Diclokal-50</t>
  </si>
  <si>
    <t>EtoxiKal 60</t>
  </si>
  <si>
    <t>Etoxikal 120</t>
  </si>
  <si>
    <t>Etoricoxib Tablets 90mg</t>
  </si>
  <si>
    <t>Nimukal-P(G/A/C)</t>
  </si>
  <si>
    <t>30*10</t>
  </si>
  <si>
    <t>10*6*10</t>
  </si>
  <si>
    <t>Ranitidine tablet 150 mg</t>
  </si>
  <si>
    <t>Atorkal 10</t>
  </si>
  <si>
    <t>Amlokal 5</t>
  </si>
  <si>
    <t>Amlokal -AT</t>
  </si>
  <si>
    <t>Amlodipine  5mg,Atenolol 50</t>
  </si>
  <si>
    <t>Atorkal 20</t>
  </si>
  <si>
    <t>Atorvastatin Tablets IP 20mg</t>
  </si>
  <si>
    <r>
      <t xml:space="preserve">Nimesulide 100mg and Paracetamol 325mg Tablets
</t>
    </r>
    <r>
      <rPr>
        <b/>
        <sz val="11"/>
        <color indexed="8"/>
        <rFont val="Times New Roman"/>
        <family val="1"/>
      </rPr>
      <t>"shall not be used for children below 12 years age"</t>
    </r>
    <r>
      <rPr>
        <sz val="11"/>
        <color indexed="8"/>
        <rFont val="Times New Roman"/>
        <family val="1"/>
      </rPr>
      <t xml:space="preserve"> </t>
    </r>
  </si>
  <si>
    <t>Ibukal-plus</t>
  </si>
  <si>
    <t>Albekal 400</t>
  </si>
  <si>
    <t>Albendazole 400</t>
  </si>
  <si>
    <t>Koldace plus</t>
  </si>
  <si>
    <t>Paracetamol 500,phenylephrine 5,caffine 30,diphenhydramine 25</t>
  </si>
  <si>
    <t>Offlokal 200 (A/A)</t>
  </si>
  <si>
    <t xml:space="preserve">Fastokal-Plus </t>
  </si>
  <si>
    <t>Fastokal-AP</t>
  </si>
  <si>
    <t>10*3*10</t>
  </si>
  <si>
    <t>Kalfol 5</t>
  </si>
  <si>
    <t>Folic acid 5</t>
  </si>
  <si>
    <t>Kalo-P 650</t>
  </si>
  <si>
    <t xml:space="preserve">Paracetamol Tablets IP (650mg) </t>
  </si>
  <si>
    <t>Shhiper</t>
  </si>
  <si>
    <t>Levotome 500</t>
  </si>
  <si>
    <t>Ranikal-150 (A/A)</t>
  </si>
  <si>
    <t>Ibuprofen 400mg,Paracetamol 325 mg</t>
  </si>
  <si>
    <t>Aceclofenac 100mg , Paracetamol 325mg and Serratiopeptidase 10</t>
  </si>
  <si>
    <t>Carvedilol Tablets IP 6.25mg</t>
  </si>
  <si>
    <t>Carvikal 6.25</t>
  </si>
  <si>
    <t>Enalakal 2.5</t>
  </si>
  <si>
    <t>Pregakal-M</t>
  </si>
  <si>
    <t>Metformin Hydrochloride Tablets IP 500mg</t>
  </si>
  <si>
    <t xml:space="preserve">Kalformin </t>
  </si>
  <si>
    <t>Rabkal 20</t>
  </si>
  <si>
    <t>Ramikal 10</t>
  </si>
  <si>
    <t>Amlodipine Besilate Tablets IP 10mg</t>
  </si>
  <si>
    <t>Amlokal 10</t>
  </si>
  <si>
    <t>Amlodipine Besilate Tablets IP 5mg</t>
  </si>
  <si>
    <t>Ofloxacin 400mg Tablets</t>
  </si>
  <si>
    <t>Offlokal 400</t>
  </si>
  <si>
    <t>Trimetazedine Tablets 35mg</t>
  </si>
  <si>
    <t>Diclofenac 100 SR</t>
  </si>
  <si>
    <t>Diclokal 100 SR</t>
  </si>
  <si>
    <t>Mecokal P</t>
  </si>
  <si>
    <t>Mecokal Plus</t>
  </si>
  <si>
    <t>Fastokal-SP</t>
  </si>
  <si>
    <t>Diclokal-Plus(W/A/G/R)</t>
  </si>
  <si>
    <t>Enalapril Tablets 2.5mg</t>
  </si>
  <si>
    <t>Rosukal 10</t>
  </si>
  <si>
    <t>MRP
(Per 10 Tab/Cap)</t>
  </si>
  <si>
    <t>Pantokal-DSR</t>
  </si>
  <si>
    <t>40*10</t>
  </si>
  <si>
    <t>GLIMEKAL-1</t>
  </si>
  <si>
    <t>60*10</t>
  </si>
  <si>
    <t>Telmikal 20</t>
  </si>
  <si>
    <t>Telmisaratn Tablets IP 20mg</t>
  </si>
  <si>
    <t>5*10</t>
  </si>
  <si>
    <t>Levkal-5 A/A</t>
  </si>
  <si>
    <t>Pregabalin 75mg  Methylcobalamine 750mcg</t>
  </si>
  <si>
    <t>Nifedipine SR Tablets 10mg</t>
  </si>
  <si>
    <t>Telmikal-H</t>
  </si>
  <si>
    <t>Rosukal F</t>
  </si>
  <si>
    <t>Haloperidol Tablets 5mg</t>
  </si>
  <si>
    <t>Mirtazapine Tablets 15mg</t>
  </si>
  <si>
    <t>Kalocium D3</t>
  </si>
  <si>
    <t>Trimekal</t>
  </si>
  <si>
    <t>Udikal 300</t>
  </si>
  <si>
    <t>Esomeprazole Tablets 40mg</t>
  </si>
  <si>
    <t>GLIMEKAL-2</t>
  </si>
  <si>
    <t>20*1*10</t>
  </si>
  <si>
    <t>Fexokal M (Mono)</t>
  </si>
  <si>
    <t>Halobil 5 A/A</t>
  </si>
  <si>
    <t>Mirtabil 15 A/A</t>
  </si>
  <si>
    <t>Metokal 25 A/A</t>
  </si>
  <si>
    <t>Metoprolol Tablets PR IP 25</t>
  </si>
  <si>
    <t>Esomikal 40 A/A</t>
  </si>
  <si>
    <t>Hydrochlorothiazide 12.5mg and Telmisartan 40mg Tablets IP</t>
  </si>
  <si>
    <t>Rosuvastatin 10mg and Fenofibrate 160mg Tablets IP</t>
  </si>
  <si>
    <t xml:space="preserve">Fexofenadine 120mg and Montelukast 10mg Tablets </t>
  </si>
  <si>
    <t>Omeprazole 20mg and Domperidone 10mg Capsules IP</t>
  </si>
  <si>
    <t>Omeprazole Capsules IP 20mg</t>
  </si>
  <si>
    <t>Calcium 500mg and Vitamin D3 250IU Tablets IP</t>
  </si>
  <si>
    <t>Glimepiride Tablets IP 1mg</t>
  </si>
  <si>
    <t>Ursodeoxycholic Acid Tablets IP 300mg</t>
  </si>
  <si>
    <t>Price per 10</t>
  </si>
  <si>
    <t>Pregabalin 75mg  Methylcobalamine 1500mcg</t>
  </si>
  <si>
    <t>Omekal DSR</t>
  </si>
  <si>
    <t>Omekal 20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</si>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</sst>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0"/>
      <color rgb="FF000000"/>
      <name val="Calibri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/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2"/>
  <sheetViews>
    <sheetView tabSelected="1" workbookViewId="0">
      <selection activeCell="I13" sqref="I13"/>
    </sheetView>
  </sheetViews>
  <sheetFormatPr defaultRowHeight="14.5" x14ac:dyDescent="0.35"/>
  <cols>
    <col min="1" max="1" width="4.7265625" customWidth="1"/>
    <col min="2" max="2" width="9.1796875" style="13"/>
    <col min="3" max="3" width="23" bestFit="1" customWidth="1"/>
    <col min="4" max="4" width="55.90625" bestFit="1" customWidth="1"/>
    <col min="5" max="5" width="12" customWidth="1"/>
    <col min="6" max="6" width="6.7265625" customWidth="1"/>
    <col min="7" max="7" width="13.453125" bestFit="1" customWidth="1"/>
    <col min="8" max="8" width="12.81640625" style="13" bestFit="1" customWidth="1"/>
  </cols>
  <sheetData>
    <row r="2" spans="2:9" ht="20.25" customHeight="1" x14ac:dyDescent="0.35">
      <c r="B2" s="32" t="s">
        <v>0</v>
      </c>
      <c r="C2" s="32"/>
      <c r="D2" s="32"/>
      <c r="E2" s="32"/>
      <c r="F2" s="32"/>
      <c r="G2" s="32"/>
      <c r="H2" s="32"/>
      <c r="I2" s="32"/>
    </row>
    <row r="3" spans="2:9" ht="15.75" customHeight="1" x14ac:dyDescent="0.35">
      <c r="B3" s="30" t="s">
        <v>1</v>
      </c>
      <c r="C3" s="30" t="s">
        <v>2</v>
      </c>
      <c r="D3" s="30"/>
      <c r="E3" s="30" t="s">
        <v>3</v>
      </c>
      <c r="F3" s="30"/>
      <c r="G3" s="1"/>
      <c r="H3" s="31" t="s">
        <v>154</v>
      </c>
      <c r="I3" s="30" t="s">
        <v>127</v>
      </c>
    </row>
    <row r="4" spans="2:9" ht="31.5" customHeight="1" x14ac:dyDescent="0.35">
      <c r="B4" s="30"/>
      <c r="C4" s="1" t="s">
        <v>5</v>
      </c>
      <c r="D4" s="1" t="s">
        <v>4</v>
      </c>
      <c r="E4" s="1" t="s">
        <v>91</v>
      </c>
      <c r="F4" s="1" t="s">
        <v>98</v>
      </c>
      <c r="G4" s="1" t="s">
        <v>189</v>
      </c>
      <c r="H4" s="30"/>
      <c r="I4" s="30"/>
    </row>
    <row r="5" spans="2:9" x14ac:dyDescent="0.35">
      <c r="B5" s="12">
        <v>1</v>
      </c>
      <c r="C5" s="7" t="s">
        <v>115</v>
      </c>
      <c r="D5" s="2" t="s">
        <v>116</v>
      </c>
      <c r="E5" s="22" t="s">
        <v>93</v>
      </c>
      <c r="F5" s="22">
        <v>90</v>
      </c>
      <c r="G5" s="26">
        <f>F5/10</f>
        <v>9</v>
      </c>
      <c r="H5" s="26">
        <v>236.2</v>
      </c>
      <c r="I5" s="22">
        <v>150</v>
      </c>
    </row>
    <row r="6" spans="2:9" ht="15.5" x14ac:dyDescent="0.35">
      <c r="B6" s="11">
        <v>2</v>
      </c>
      <c r="C6" s="4" t="s">
        <v>141</v>
      </c>
      <c r="D6" s="17" t="s">
        <v>140</v>
      </c>
      <c r="E6" s="22" t="s">
        <v>105</v>
      </c>
      <c r="F6" s="22">
        <v>135</v>
      </c>
      <c r="G6" s="26">
        <f>F6/60</f>
        <v>2.25</v>
      </c>
      <c r="H6" s="28">
        <v>55</v>
      </c>
      <c r="I6" s="22">
        <v>50</v>
      </c>
    </row>
    <row r="7" spans="2:9" ht="16.5" customHeight="1" x14ac:dyDescent="0.35">
      <c r="B7" s="12">
        <v>3</v>
      </c>
      <c r="C7" s="4" t="s">
        <v>108</v>
      </c>
      <c r="D7" s="17" t="s">
        <v>142</v>
      </c>
      <c r="E7" s="22" t="s">
        <v>105</v>
      </c>
      <c r="F7" s="22">
        <v>110</v>
      </c>
      <c r="G7" s="26">
        <f t="shared" ref="G7:G69" si="0">F7/20</f>
        <v>5.5</v>
      </c>
      <c r="H7" s="29">
        <v>27.5</v>
      </c>
      <c r="I7" s="22">
        <v>50</v>
      </c>
    </row>
    <row r="8" spans="2:9" ht="16.5" customHeight="1" x14ac:dyDescent="0.35">
      <c r="B8" s="12">
        <v>4</v>
      </c>
      <c r="C8" s="7" t="s">
        <v>109</v>
      </c>
      <c r="D8" s="14" t="s">
        <v>110</v>
      </c>
      <c r="E8" s="22" t="s">
        <v>122</v>
      </c>
      <c r="F8" s="22">
        <v>80</v>
      </c>
      <c r="G8" s="26">
        <f>F8/30</f>
        <v>2.6666666666666665</v>
      </c>
      <c r="H8" s="24">
        <v>120</v>
      </c>
      <c r="I8" s="22">
        <v>100</v>
      </c>
    </row>
    <row r="9" spans="2:9" x14ac:dyDescent="0.35">
      <c r="B9" s="11">
        <v>5</v>
      </c>
      <c r="C9" s="7" t="s">
        <v>107</v>
      </c>
      <c r="D9" s="14" t="s">
        <v>10</v>
      </c>
      <c r="E9" s="22" t="s">
        <v>92</v>
      </c>
      <c r="F9" s="22">
        <v>64</v>
      </c>
      <c r="G9" s="26">
        <f t="shared" si="0"/>
        <v>3.2</v>
      </c>
      <c r="H9" s="24">
        <v>52</v>
      </c>
      <c r="I9" s="22">
        <v>250</v>
      </c>
    </row>
    <row r="10" spans="2:9" x14ac:dyDescent="0.35">
      <c r="B10" s="12">
        <v>6</v>
      </c>
      <c r="C10" s="7" t="s">
        <v>111</v>
      </c>
      <c r="D10" s="5" t="s">
        <v>112</v>
      </c>
      <c r="E10" s="22" t="s">
        <v>92</v>
      </c>
      <c r="F10" s="22">
        <v>95</v>
      </c>
      <c r="G10" s="26">
        <f t="shared" si="0"/>
        <v>4.75</v>
      </c>
      <c r="H10" s="24">
        <v>185</v>
      </c>
      <c r="I10" s="22">
        <v>250</v>
      </c>
    </row>
    <row r="11" spans="2:9" ht="15.5" x14ac:dyDescent="0.35">
      <c r="B11" s="12">
        <v>7</v>
      </c>
      <c r="C11" s="4" t="s">
        <v>9</v>
      </c>
      <c r="D11" s="16" t="s">
        <v>8</v>
      </c>
      <c r="E11" s="22" t="s">
        <v>92</v>
      </c>
      <c r="F11" s="22">
        <v>150</v>
      </c>
      <c r="G11" s="26">
        <f t="shared" si="0"/>
        <v>7.5</v>
      </c>
      <c r="H11" s="24">
        <v>185</v>
      </c>
      <c r="I11" s="22">
        <v>250</v>
      </c>
    </row>
    <row r="12" spans="2:9" x14ac:dyDescent="0.35">
      <c r="B12" s="11">
        <v>8</v>
      </c>
      <c r="C12" s="5" t="s">
        <v>96</v>
      </c>
      <c r="D12" s="6" t="s">
        <v>11</v>
      </c>
      <c r="E12" s="22" t="s">
        <v>93</v>
      </c>
      <c r="F12" s="22">
        <v>400</v>
      </c>
      <c r="G12" s="26">
        <f>F12/10</f>
        <v>40</v>
      </c>
      <c r="H12" s="24" t="s">
        <v>90</v>
      </c>
      <c r="I12" s="22">
        <v>250</v>
      </c>
    </row>
    <row r="13" spans="2:9" x14ac:dyDescent="0.35">
      <c r="B13" s="12">
        <v>9</v>
      </c>
      <c r="C13" s="5" t="s">
        <v>13</v>
      </c>
      <c r="D13" s="14" t="s">
        <v>12</v>
      </c>
      <c r="E13" s="22" t="s">
        <v>161</v>
      </c>
      <c r="F13" s="22">
        <v>375</v>
      </c>
      <c r="G13" s="26">
        <f>F13/5</f>
        <v>75</v>
      </c>
      <c r="H13" s="24">
        <v>236.2</v>
      </c>
      <c r="I13" s="22">
        <v>100</v>
      </c>
    </row>
    <row r="14" spans="2:9" ht="15.5" x14ac:dyDescent="0.35">
      <c r="B14" s="12">
        <v>10</v>
      </c>
      <c r="C14" s="16" t="s">
        <v>133</v>
      </c>
      <c r="D14" s="16" t="s">
        <v>132</v>
      </c>
      <c r="E14" s="22" t="s">
        <v>92</v>
      </c>
      <c r="F14" s="22">
        <v>125</v>
      </c>
      <c r="G14" s="26">
        <f t="shared" si="0"/>
        <v>6.25</v>
      </c>
      <c r="H14" s="24">
        <v>55</v>
      </c>
      <c r="I14" s="22">
        <v>250</v>
      </c>
    </row>
    <row r="15" spans="2:9" x14ac:dyDescent="0.35">
      <c r="B15" s="11">
        <v>11</v>
      </c>
      <c r="C15" s="5" t="s">
        <v>22</v>
      </c>
      <c r="D15" s="5" t="s">
        <v>21</v>
      </c>
      <c r="E15" s="22" t="s">
        <v>92</v>
      </c>
      <c r="F15" s="22">
        <v>70</v>
      </c>
      <c r="G15" s="26">
        <f t="shared" si="0"/>
        <v>3.5</v>
      </c>
      <c r="H15" s="24">
        <v>110</v>
      </c>
      <c r="I15" s="22">
        <v>200</v>
      </c>
    </row>
    <row r="16" spans="2:9" x14ac:dyDescent="0.35">
      <c r="B16" s="12">
        <v>12</v>
      </c>
      <c r="C16" s="5" t="s">
        <v>20</v>
      </c>
      <c r="D16" s="5" t="s">
        <v>19</v>
      </c>
      <c r="E16" s="22" t="s">
        <v>92</v>
      </c>
      <c r="F16" s="22">
        <v>50</v>
      </c>
      <c r="G16" s="26">
        <f t="shared" si="0"/>
        <v>2.5</v>
      </c>
      <c r="H16" s="24">
        <v>65</v>
      </c>
      <c r="I16" s="22">
        <v>200</v>
      </c>
    </row>
    <row r="17" spans="2:9" x14ac:dyDescent="0.35">
      <c r="B17" s="12">
        <v>13</v>
      </c>
      <c r="C17" s="5" t="s">
        <v>15</v>
      </c>
      <c r="D17" s="6" t="s">
        <v>14</v>
      </c>
      <c r="E17" s="22" t="s">
        <v>92</v>
      </c>
      <c r="F17" s="22">
        <v>150</v>
      </c>
      <c r="G17" s="26">
        <f t="shared" si="0"/>
        <v>7.5</v>
      </c>
      <c r="H17" s="24">
        <v>22.5</v>
      </c>
      <c r="I17" s="22">
        <v>200</v>
      </c>
    </row>
    <row r="18" spans="2:9" x14ac:dyDescent="0.35">
      <c r="B18" s="11">
        <v>14</v>
      </c>
      <c r="C18" s="5" t="s">
        <v>95</v>
      </c>
      <c r="D18" s="6" t="s">
        <v>16</v>
      </c>
      <c r="E18" s="22" t="s">
        <v>93</v>
      </c>
      <c r="F18" s="22">
        <v>140</v>
      </c>
      <c r="G18" s="26">
        <f>F18/10</f>
        <v>14</v>
      </c>
      <c r="H18" s="24">
        <v>45</v>
      </c>
      <c r="I18" s="22">
        <v>200</v>
      </c>
    </row>
    <row r="19" spans="2:9" x14ac:dyDescent="0.35">
      <c r="B19" s="12">
        <v>15</v>
      </c>
      <c r="C19" s="5" t="s">
        <v>94</v>
      </c>
      <c r="D19" s="6" t="s">
        <v>16</v>
      </c>
      <c r="E19" s="22" t="s">
        <v>92</v>
      </c>
      <c r="F19" s="22">
        <v>300</v>
      </c>
      <c r="G19" s="26">
        <f t="shared" si="0"/>
        <v>15</v>
      </c>
      <c r="H19" s="24">
        <v>45</v>
      </c>
      <c r="I19" s="22">
        <v>60</v>
      </c>
    </row>
    <row r="20" spans="2:9" x14ac:dyDescent="0.35">
      <c r="B20" s="12">
        <v>16</v>
      </c>
      <c r="C20" s="5" t="s">
        <v>18</v>
      </c>
      <c r="D20" s="5" t="s">
        <v>17</v>
      </c>
      <c r="E20" s="22" t="s">
        <v>93</v>
      </c>
      <c r="F20" s="22">
        <v>825</v>
      </c>
      <c r="G20" s="26">
        <f>F20/10</f>
        <v>82.5</v>
      </c>
      <c r="H20" s="24">
        <v>525</v>
      </c>
      <c r="I20" s="22">
        <v>100</v>
      </c>
    </row>
    <row r="21" spans="2:9" x14ac:dyDescent="0.35">
      <c r="B21" s="11">
        <v>17</v>
      </c>
      <c r="C21" s="5" t="s">
        <v>52</v>
      </c>
      <c r="D21" s="5" t="s">
        <v>51</v>
      </c>
      <c r="E21" s="22" t="s">
        <v>92</v>
      </c>
      <c r="F21" s="22">
        <v>135</v>
      </c>
      <c r="G21" s="26">
        <f t="shared" si="0"/>
        <v>6.75</v>
      </c>
      <c r="H21" s="24">
        <v>105</v>
      </c>
      <c r="I21" s="22">
        <v>200</v>
      </c>
    </row>
    <row r="22" spans="2:9" ht="15.5" x14ac:dyDescent="0.35">
      <c r="B22" s="12">
        <v>18</v>
      </c>
      <c r="C22" s="15" t="s">
        <v>147</v>
      </c>
      <c r="D22" s="17" t="s">
        <v>146</v>
      </c>
      <c r="E22" s="22" t="s">
        <v>122</v>
      </c>
      <c r="F22" s="22">
        <v>135</v>
      </c>
      <c r="G22" s="26">
        <f>F22/30</f>
        <v>4.5</v>
      </c>
      <c r="H22" s="26">
        <v>45</v>
      </c>
      <c r="I22" s="22">
        <v>100</v>
      </c>
    </row>
    <row r="23" spans="2:9" x14ac:dyDescent="0.35">
      <c r="B23" s="12">
        <v>19</v>
      </c>
      <c r="C23" s="5" t="s">
        <v>99</v>
      </c>
      <c r="D23" s="5" t="s">
        <v>87</v>
      </c>
      <c r="E23" s="22" t="s">
        <v>92</v>
      </c>
      <c r="F23" s="22">
        <v>55</v>
      </c>
      <c r="G23" s="26">
        <f t="shared" si="0"/>
        <v>2.75</v>
      </c>
      <c r="H23" s="24">
        <v>25</v>
      </c>
      <c r="I23" s="22">
        <v>200</v>
      </c>
    </row>
    <row r="24" spans="2:9" x14ac:dyDescent="0.35">
      <c r="B24" s="11">
        <v>20</v>
      </c>
      <c r="C24" s="5" t="s">
        <v>151</v>
      </c>
      <c r="D24" s="6" t="s">
        <v>23</v>
      </c>
      <c r="E24" s="22" t="s">
        <v>92</v>
      </c>
      <c r="F24" s="22">
        <v>64</v>
      </c>
      <c r="G24" s="26">
        <f t="shared" si="0"/>
        <v>3.2</v>
      </c>
      <c r="H24" s="24">
        <v>45</v>
      </c>
      <c r="I24" s="22">
        <v>100</v>
      </c>
    </row>
    <row r="25" spans="2:9" x14ac:dyDescent="0.35">
      <c r="B25" s="12">
        <v>21</v>
      </c>
      <c r="C25" s="5" t="s">
        <v>29</v>
      </c>
      <c r="D25" s="5" t="s">
        <v>28</v>
      </c>
      <c r="E25" s="22" t="s">
        <v>92</v>
      </c>
      <c r="F25" s="22">
        <v>90</v>
      </c>
      <c r="G25" s="26">
        <f t="shared" si="0"/>
        <v>4.5</v>
      </c>
      <c r="H25" s="24">
        <v>65</v>
      </c>
      <c r="I25" s="22">
        <v>200</v>
      </c>
    </row>
    <row r="26" spans="2:9" x14ac:dyDescent="0.35">
      <c r="B26" s="12">
        <v>22</v>
      </c>
      <c r="C26" s="27" t="s">
        <v>134</v>
      </c>
      <c r="D26" s="5" t="s">
        <v>152</v>
      </c>
      <c r="E26" s="22" t="s">
        <v>105</v>
      </c>
      <c r="F26" s="22">
        <v>65</v>
      </c>
      <c r="G26" s="26">
        <f>F26/60</f>
        <v>1.0833333333333333</v>
      </c>
      <c r="H26" s="24">
        <v>18</v>
      </c>
      <c r="I26" s="22">
        <v>200</v>
      </c>
    </row>
    <row r="27" spans="2:9" x14ac:dyDescent="0.35">
      <c r="B27" s="11">
        <v>23</v>
      </c>
      <c r="C27" s="5" t="s">
        <v>27</v>
      </c>
      <c r="D27" s="5" t="s">
        <v>26</v>
      </c>
      <c r="E27" s="22" t="s">
        <v>92</v>
      </c>
      <c r="F27" s="22">
        <v>65</v>
      </c>
      <c r="G27" s="26">
        <f t="shared" si="0"/>
        <v>3.25</v>
      </c>
      <c r="H27" s="24">
        <v>37</v>
      </c>
      <c r="I27" s="22">
        <v>200</v>
      </c>
    </row>
    <row r="28" spans="2:9" x14ac:dyDescent="0.35">
      <c r="B28" s="12">
        <v>24</v>
      </c>
      <c r="C28" s="5" t="s">
        <v>101</v>
      </c>
      <c r="D28" s="5" t="s">
        <v>30</v>
      </c>
      <c r="E28" s="22" t="s">
        <v>92</v>
      </c>
      <c r="F28" s="22">
        <v>280</v>
      </c>
      <c r="G28" s="26">
        <f t="shared" si="0"/>
        <v>14</v>
      </c>
      <c r="H28" s="24">
        <v>175</v>
      </c>
      <c r="I28" s="22">
        <v>100</v>
      </c>
    </row>
    <row r="29" spans="2:9" x14ac:dyDescent="0.35">
      <c r="B29" s="12">
        <v>25</v>
      </c>
      <c r="C29" s="5" t="s">
        <v>100</v>
      </c>
      <c r="D29" s="8" t="s">
        <v>31</v>
      </c>
      <c r="E29" s="22" t="s">
        <v>92</v>
      </c>
      <c r="F29" s="22">
        <v>210</v>
      </c>
      <c r="G29" s="26">
        <f t="shared" si="0"/>
        <v>10.5</v>
      </c>
      <c r="H29" s="24">
        <v>95</v>
      </c>
      <c r="I29" s="22"/>
    </row>
    <row r="30" spans="2:9" x14ac:dyDescent="0.35">
      <c r="B30" s="11">
        <v>26</v>
      </c>
      <c r="C30" s="5" t="s">
        <v>32</v>
      </c>
      <c r="D30" s="8" t="s">
        <v>102</v>
      </c>
      <c r="E30" s="22" t="s">
        <v>92</v>
      </c>
      <c r="F30" s="22">
        <v>260</v>
      </c>
      <c r="G30" s="26">
        <f t="shared" si="0"/>
        <v>13</v>
      </c>
      <c r="H30" s="24">
        <v>130</v>
      </c>
      <c r="I30" s="22"/>
    </row>
    <row r="31" spans="2:9" ht="30" customHeight="1" x14ac:dyDescent="0.35">
      <c r="B31" s="12">
        <v>27</v>
      </c>
      <c r="C31" s="5" t="s">
        <v>120</v>
      </c>
      <c r="D31" s="6" t="s">
        <v>6</v>
      </c>
      <c r="E31" s="22" t="s">
        <v>92</v>
      </c>
      <c r="F31" s="22">
        <v>75</v>
      </c>
      <c r="G31" s="26">
        <f t="shared" si="0"/>
        <v>3.75</v>
      </c>
      <c r="H31" s="24">
        <v>80</v>
      </c>
      <c r="I31" s="22">
        <v>100</v>
      </c>
    </row>
    <row r="32" spans="2:9" x14ac:dyDescent="0.35">
      <c r="B32" s="12">
        <v>28</v>
      </c>
      <c r="C32" s="5" t="s">
        <v>97</v>
      </c>
      <c r="D32" s="5" t="s">
        <v>7</v>
      </c>
      <c r="E32" s="22" t="s">
        <v>105</v>
      </c>
      <c r="F32" s="22">
        <v>135</v>
      </c>
      <c r="G32" s="26">
        <f>F32/60</f>
        <v>2.25</v>
      </c>
      <c r="H32" s="24">
        <v>52</v>
      </c>
      <c r="I32" s="22">
        <v>200</v>
      </c>
    </row>
    <row r="33" spans="2:9" x14ac:dyDescent="0.35">
      <c r="B33" s="11">
        <v>29</v>
      </c>
      <c r="C33" s="5" t="s">
        <v>121</v>
      </c>
      <c r="D33" s="6" t="s">
        <v>6</v>
      </c>
      <c r="E33" s="22" t="s">
        <v>92</v>
      </c>
      <c r="F33" s="22">
        <v>88</v>
      </c>
      <c r="G33" s="26">
        <f t="shared" si="0"/>
        <v>4.4000000000000004</v>
      </c>
      <c r="H33" s="24">
        <v>90</v>
      </c>
      <c r="I33" s="22">
        <v>60</v>
      </c>
    </row>
    <row r="34" spans="2:9" x14ac:dyDescent="0.35">
      <c r="B34" s="12">
        <v>30</v>
      </c>
      <c r="C34" s="5" t="s">
        <v>150</v>
      </c>
      <c r="D34" s="6" t="s">
        <v>131</v>
      </c>
      <c r="E34" s="22" t="s">
        <v>92</v>
      </c>
      <c r="F34" s="22">
        <v>136</v>
      </c>
      <c r="G34" s="26">
        <f t="shared" si="0"/>
        <v>6.8</v>
      </c>
      <c r="H34" s="24">
        <v>110</v>
      </c>
      <c r="I34" s="22">
        <v>60</v>
      </c>
    </row>
    <row r="35" spans="2:9" x14ac:dyDescent="0.35">
      <c r="B35" s="12">
        <v>31</v>
      </c>
      <c r="C35" s="7" t="s">
        <v>34</v>
      </c>
      <c r="D35" s="5" t="s">
        <v>33</v>
      </c>
      <c r="E35" s="22" t="s">
        <v>92</v>
      </c>
      <c r="F35" s="22">
        <v>280</v>
      </c>
      <c r="G35" s="26">
        <f t="shared" si="0"/>
        <v>14</v>
      </c>
      <c r="H35" s="24">
        <v>120</v>
      </c>
      <c r="I35" s="22">
        <v>200</v>
      </c>
    </row>
    <row r="36" spans="2:9" x14ac:dyDescent="0.35">
      <c r="B36" s="11">
        <v>32</v>
      </c>
      <c r="C36" s="5" t="s">
        <v>36</v>
      </c>
      <c r="D36" s="8" t="s">
        <v>35</v>
      </c>
      <c r="E36" s="22" t="s">
        <v>92</v>
      </c>
      <c r="F36" s="22">
        <v>320</v>
      </c>
      <c r="G36" s="26">
        <f t="shared" si="0"/>
        <v>16</v>
      </c>
      <c r="H36" s="24">
        <v>170</v>
      </c>
      <c r="I36" s="22">
        <v>200</v>
      </c>
    </row>
    <row r="37" spans="2:9" ht="15.5" x14ac:dyDescent="0.35">
      <c r="B37" s="12">
        <v>33</v>
      </c>
      <c r="C37" s="4" t="s">
        <v>114</v>
      </c>
      <c r="D37" s="2" t="s">
        <v>130</v>
      </c>
      <c r="E37" s="22" t="s">
        <v>92</v>
      </c>
      <c r="F37" s="22">
        <v>150</v>
      </c>
      <c r="G37" s="26">
        <f t="shared" si="0"/>
        <v>7.5</v>
      </c>
      <c r="H37" s="24">
        <v>15</v>
      </c>
      <c r="I37" s="22">
        <v>100</v>
      </c>
    </row>
    <row r="38" spans="2:9" x14ac:dyDescent="0.35">
      <c r="B38" s="12">
        <v>34</v>
      </c>
      <c r="C38" s="7" t="s">
        <v>123</v>
      </c>
      <c r="D38" s="2" t="s">
        <v>124</v>
      </c>
      <c r="E38" s="22" t="s">
        <v>105</v>
      </c>
      <c r="F38" s="22">
        <v>84</v>
      </c>
      <c r="G38" s="26">
        <f>F38/60</f>
        <v>1.4</v>
      </c>
      <c r="H38" s="24">
        <v>15</v>
      </c>
      <c r="I38" s="22">
        <v>50</v>
      </c>
    </row>
    <row r="39" spans="2:9" ht="15.5" x14ac:dyDescent="0.35">
      <c r="B39" s="11">
        <v>35</v>
      </c>
      <c r="C39" s="15" t="s">
        <v>137</v>
      </c>
      <c r="D39" s="15" t="s">
        <v>136</v>
      </c>
      <c r="E39" s="22" t="s">
        <v>92</v>
      </c>
      <c r="F39" s="22">
        <v>60</v>
      </c>
      <c r="G39" s="26">
        <f t="shared" si="0"/>
        <v>3</v>
      </c>
      <c r="H39" s="24">
        <v>24</v>
      </c>
      <c r="I39" s="22">
        <v>100</v>
      </c>
    </row>
    <row r="40" spans="2:9" x14ac:dyDescent="0.35">
      <c r="B40" s="12">
        <v>36</v>
      </c>
      <c r="C40" s="8" t="s">
        <v>38</v>
      </c>
      <c r="D40" s="8" t="s">
        <v>37</v>
      </c>
      <c r="E40" s="22" t="s">
        <v>92</v>
      </c>
      <c r="F40" s="22">
        <v>100</v>
      </c>
      <c r="G40" s="26">
        <f t="shared" si="0"/>
        <v>5</v>
      </c>
      <c r="H40" s="24">
        <v>90</v>
      </c>
      <c r="I40" s="22">
        <v>100</v>
      </c>
    </row>
    <row r="41" spans="2:9" x14ac:dyDescent="0.35">
      <c r="B41" s="12">
        <v>37</v>
      </c>
      <c r="C41" s="8" t="s">
        <v>40</v>
      </c>
      <c r="D41" s="8" t="s">
        <v>39</v>
      </c>
      <c r="E41" s="22" t="s">
        <v>92</v>
      </c>
      <c r="F41" s="22">
        <v>110</v>
      </c>
      <c r="G41" s="26">
        <f t="shared" si="0"/>
        <v>5.5</v>
      </c>
      <c r="H41" s="24">
        <v>130</v>
      </c>
      <c r="I41" s="22">
        <v>100</v>
      </c>
    </row>
    <row r="42" spans="2:9" x14ac:dyDescent="0.35">
      <c r="B42" s="11">
        <v>38</v>
      </c>
      <c r="C42" s="5" t="s">
        <v>64</v>
      </c>
      <c r="D42" s="6" t="s">
        <v>63</v>
      </c>
      <c r="E42" s="22" t="s">
        <v>92</v>
      </c>
      <c r="F42" s="22">
        <v>50</v>
      </c>
      <c r="G42" s="26">
        <f t="shared" si="0"/>
        <v>2.5</v>
      </c>
      <c r="H42" s="24">
        <v>11</v>
      </c>
      <c r="I42" s="22">
        <v>150</v>
      </c>
    </row>
    <row r="43" spans="2:9" x14ac:dyDescent="0.35">
      <c r="B43" s="12">
        <v>39</v>
      </c>
      <c r="C43" s="14" t="s">
        <v>125</v>
      </c>
      <c r="D43" s="14" t="s">
        <v>126</v>
      </c>
      <c r="E43" s="22" t="s">
        <v>104</v>
      </c>
      <c r="F43" s="22">
        <v>135</v>
      </c>
      <c r="G43" s="26">
        <f>F43/30</f>
        <v>4.5</v>
      </c>
      <c r="H43" s="24">
        <v>21</v>
      </c>
      <c r="I43" s="22">
        <v>60</v>
      </c>
    </row>
    <row r="44" spans="2:9" x14ac:dyDescent="0.35">
      <c r="B44" s="12">
        <v>40</v>
      </c>
      <c r="C44" s="7" t="s">
        <v>117</v>
      </c>
      <c r="D44" s="2" t="s">
        <v>118</v>
      </c>
      <c r="E44" s="22" t="s">
        <v>92</v>
      </c>
      <c r="F44" s="22">
        <v>130</v>
      </c>
      <c r="G44" s="26">
        <f t="shared" si="0"/>
        <v>6.5</v>
      </c>
      <c r="H44" s="24">
        <v>52</v>
      </c>
      <c r="I44" s="22">
        <v>100</v>
      </c>
    </row>
    <row r="45" spans="2:9" x14ac:dyDescent="0.35">
      <c r="B45" s="11">
        <v>41</v>
      </c>
      <c r="C45" s="5" t="s">
        <v>43</v>
      </c>
      <c r="D45" s="5" t="s">
        <v>42</v>
      </c>
      <c r="E45" s="22" t="s">
        <v>93</v>
      </c>
      <c r="F45" s="22">
        <v>215</v>
      </c>
      <c r="G45" s="26">
        <f>F45/10</f>
        <v>21.5</v>
      </c>
      <c r="H45" s="24">
        <v>100</v>
      </c>
      <c r="I45" s="22">
        <v>200</v>
      </c>
    </row>
    <row r="46" spans="2:9" x14ac:dyDescent="0.35">
      <c r="B46" s="12">
        <v>42</v>
      </c>
      <c r="C46" s="5" t="s">
        <v>162</v>
      </c>
      <c r="D46" s="6" t="s">
        <v>41</v>
      </c>
      <c r="E46" s="22" t="s">
        <v>92</v>
      </c>
      <c r="F46" s="22">
        <v>56</v>
      </c>
      <c r="G46" s="26">
        <f t="shared" si="0"/>
        <v>2.8</v>
      </c>
      <c r="H46" s="24">
        <v>50</v>
      </c>
      <c r="I46" s="22">
        <v>200</v>
      </c>
    </row>
    <row r="47" spans="2:9" x14ac:dyDescent="0.35">
      <c r="B47" s="12">
        <v>43</v>
      </c>
      <c r="C47" s="5" t="s">
        <v>50</v>
      </c>
      <c r="D47" s="6" t="s">
        <v>49</v>
      </c>
      <c r="E47" s="22" t="s">
        <v>92</v>
      </c>
      <c r="F47" s="22">
        <v>140</v>
      </c>
      <c r="G47" s="26">
        <f t="shared" si="0"/>
        <v>7</v>
      </c>
      <c r="H47" s="24">
        <v>115</v>
      </c>
      <c r="I47" s="22">
        <v>200</v>
      </c>
    </row>
    <row r="48" spans="2:9" x14ac:dyDescent="0.35">
      <c r="B48" s="11">
        <v>44</v>
      </c>
      <c r="C48" s="7" t="s">
        <v>128</v>
      </c>
      <c r="D48" s="14" t="s">
        <v>85</v>
      </c>
      <c r="E48" s="22" t="s">
        <v>93</v>
      </c>
      <c r="F48" s="22">
        <v>155</v>
      </c>
      <c r="G48" s="26">
        <f>F48/10</f>
        <v>15.5</v>
      </c>
      <c r="H48" s="24">
        <v>125</v>
      </c>
      <c r="I48" s="22">
        <v>200</v>
      </c>
    </row>
    <row r="49" spans="2:9" x14ac:dyDescent="0.35">
      <c r="B49" s="12">
        <v>45</v>
      </c>
      <c r="C49" s="5" t="s">
        <v>45</v>
      </c>
      <c r="D49" s="6" t="s">
        <v>44</v>
      </c>
      <c r="E49" s="22" t="s">
        <v>93</v>
      </c>
      <c r="F49" s="22">
        <v>620</v>
      </c>
      <c r="G49" s="26">
        <f>F49/10</f>
        <v>62</v>
      </c>
      <c r="H49" s="24">
        <v>350</v>
      </c>
      <c r="I49" s="22">
        <v>100</v>
      </c>
    </row>
    <row r="50" spans="2:9" x14ac:dyDescent="0.35">
      <c r="B50" s="12">
        <v>46</v>
      </c>
      <c r="C50" s="7" t="s">
        <v>47</v>
      </c>
      <c r="D50" s="8" t="s">
        <v>46</v>
      </c>
      <c r="E50" s="22" t="s">
        <v>92</v>
      </c>
      <c r="F50" s="22">
        <v>120</v>
      </c>
      <c r="G50" s="26">
        <f t="shared" si="0"/>
        <v>6</v>
      </c>
      <c r="H50" s="24">
        <v>85</v>
      </c>
      <c r="I50" s="22">
        <v>200</v>
      </c>
    </row>
    <row r="51" spans="2:9" ht="15.5" x14ac:dyDescent="0.35">
      <c r="B51" s="11">
        <v>47</v>
      </c>
      <c r="C51" s="15" t="s">
        <v>148</v>
      </c>
      <c r="D51" s="17" t="s">
        <v>163</v>
      </c>
      <c r="E51" s="22" t="s">
        <v>92</v>
      </c>
      <c r="F51" s="22">
        <v>200</v>
      </c>
      <c r="G51" s="26">
        <f t="shared" si="0"/>
        <v>10</v>
      </c>
      <c r="H51" s="28">
        <v>135</v>
      </c>
      <c r="I51" s="22">
        <v>250</v>
      </c>
    </row>
    <row r="52" spans="2:9" ht="15.5" x14ac:dyDescent="0.35">
      <c r="B52" s="12">
        <v>48</v>
      </c>
      <c r="C52" s="15" t="s">
        <v>149</v>
      </c>
      <c r="D52" s="17" t="s">
        <v>190</v>
      </c>
      <c r="E52" s="22" t="s">
        <v>92</v>
      </c>
      <c r="F52" s="22">
        <v>250</v>
      </c>
      <c r="G52" s="26">
        <f t="shared" si="0"/>
        <v>12.5</v>
      </c>
      <c r="H52" s="28">
        <v>160</v>
      </c>
      <c r="I52" s="22">
        <v>250</v>
      </c>
    </row>
    <row r="53" spans="2:9" x14ac:dyDescent="0.35">
      <c r="B53" s="12">
        <v>49</v>
      </c>
      <c r="C53" s="7" t="s">
        <v>25</v>
      </c>
      <c r="D53" s="8" t="s">
        <v>24</v>
      </c>
      <c r="E53" s="22" t="s">
        <v>93</v>
      </c>
      <c r="F53" s="22">
        <v>35</v>
      </c>
      <c r="G53" s="26">
        <f>F53/10</f>
        <v>3.5</v>
      </c>
      <c r="H53" s="24">
        <v>45</v>
      </c>
      <c r="I53" s="22">
        <v>200</v>
      </c>
    </row>
    <row r="54" spans="2:9" x14ac:dyDescent="0.35">
      <c r="B54" s="11">
        <v>50</v>
      </c>
      <c r="C54" s="5" t="s">
        <v>54</v>
      </c>
      <c r="D54" s="5" t="s">
        <v>53</v>
      </c>
      <c r="E54" s="22" t="s">
        <v>92</v>
      </c>
      <c r="F54" s="22">
        <v>240</v>
      </c>
      <c r="G54" s="26">
        <f t="shared" si="0"/>
        <v>12</v>
      </c>
      <c r="H54" s="24">
        <v>110</v>
      </c>
      <c r="I54" s="22">
        <v>200</v>
      </c>
    </row>
    <row r="55" spans="2:9" ht="28" x14ac:dyDescent="0.35">
      <c r="B55" s="12">
        <v>51</v>
      </c>
      <c r="C55" s="5" t="s">
        <v>82</v>
      </c>
      <c r="D55" s="6" t="s">
        <v>81</v>
      </c>
      <c r="E55" s="22" t="s">
        <v>105</v>
      </c>
      <c r="F55" s="22">
        <v>120</v>
      </c>
      <c r="G55" s="26">
        <f>F55/60</f>
        <v>2</v>
      </c>
      <c r="H55" s="24">
        <v>15</v>
      </c>
      <c r="I55" s="22">
        <v>90</v>
      </c>
    </row>
    <row r="56" spans="2:9" ht="28" x14ac:dyDescent="0.35">
      <c r="B56" s="12">
        <v>52</v>
      </c>
      <c r="C56" s="5" t="s">
        <v>84</v>
      </c>
      <c r="D56" s="6" t="s">
        <v>83</v>
      </c>
      <c r="E56" s="22" t="s">
        <v>104</v>
      </c>
      <c r="F56" s="22">
        <v>120</v>
      </c>
      <c r="G56" s="26">
        <f>F56/30</f>
        <v>4</v>
      </c>
      <c r="H56" s="24">
        <v>16</v>
      </c>
      <c r="I56" s="22">
        <v>100</v>
      </c>
    </row>
    <row r="57" spans="2:9" x14ac:dyDescent="0.35">
      <c r="B57" s="11">
        <v>53</v>
      </c>
      <c r="C57" s="5" t="s">
        <v>56</v>
      </c>
      <c r="D57" s="5" t="s">
        <v>55</v>
      </c>
      <c r="E57" s="22" t="s">
        <v>92</v>
      </c>
      <c r="F57" s="22">
        <v>110</v>
      </c>
      <c r="G57" s="26">
        <f t="shared" si="0"/>
        <v>5.5</v>
      </c>
      <c r="H57" s="24">
        <v>140</v>
      </c>
      <c r="I57" s="22">
        <v>300</v>
      </c>
    </row>
    <row r="58" spans="2:9" x14ac:dyDescent="0.35">
      <c r="B58" s="12">
        <v>54</v>
      </c>
      <c r="C58" s="5" t="s">
        <v>57</v>
      </c>
      <c r="D58" s="5" t="s">
        <v>164</v>
      </c>
      <c r="E58" s="22" t="s">
        <v>92</v>
      </c>
      <c r="F58" s="22">
        <v>100</v>
      </c>
      <c r="G58" s="26">
        <f t="shared" si="0"/>
        <v>5</v>
      </c>
      <c r="H58" s="24">
        <v>20</v>
      </c>
      <c r="I58" s="22">
        <v>200</v>
      </c>
    </row>
    <row r="59" spans="2:9" ht="28.5" x14ac:dyDescent="0.35">
      <c r="B59" s="12">
        <v>55</v>
      </c>
      <c r="C59" s="9" t="s">
        <v>103</v>
      </c>
      <c r="D59" s="10" t="s">
        <v>113</v>
      </c>
      <c r="E59" s="22" t="s">
        <v>92</v>
      </c>
      <c r="F59" s="22">
        <v>72</v>
      </c>
      <c r="G59" s="26">
        <f t="shared" si="0"/>
        <v>3.6</v>
      </c>
      <c r="H59" s="24">
        <v>58</v>
      </c>
      <c r="I59" s="22">
        <v>100</v>
      </c>
    </row>
    <row r="60" spans="2:9" x14ac:dyDescent="0.35">
      <c r="B60" s="11">
        <v>56</v>
      </c>
      <c r="C60" s="5" t="s">
        <v>61</v>
      </c>
      <c r="D60" s="6" t="s">
        <v>60</v>
      </c>
      <c r="E60" s="22" t="s">
        <v>92</v>
      </c>
      <c r="F60" s="22">
        <v>160</v>
      </c>
      <c r="G60" s="26">
        <f t="shared" si="0"/>
        <v>8</v>
      </c>
      <c r="H60" s="24">
        <v>75</v>
      </c>
      <c r="I60" s="22">
        <v>200</v>
      </c>
    </row>
    <row r="61" spans="2:9" x14ac:dyDescent="0.35">
      <c r="B61" s="12">
        <v>57</v>
      </c>
      <c r="C61" s="5" t="s">
        <v>119</v>
      </c>
      <c r="D61" s="6" t="s">
        <v>60</v>
      </c>
      <c r="E61" s="22" t="s">
        <v>92</v>
      </c>
      <c r="F61" s="22">
        <v>180</v>
      </c>
      <c r="G61" s="26">
        <f t="shared" si="0"/>
        <v>9</v>
      </c>
      <c r="H61" s="24">
        <v>90</v>
      </c>
      <c r="I61" s="22">
        <v>200</v>
      </c>
    </row>
    <row r="62" spans="2:9" x14ac:dyDescent="0.35">
      <c r="B62" s="12">
        <v>58</v>
      </c>
      <c r="C62" s="2" t="s">
        <v>144</v>
      </c>
      <c r="D62" s="2" t="s">
        <v>143</v>
      </c>
      <c r="E62" s="22" t="s">
        <v>93</v>
      </c>
      <c r="F62" s="22"/>
      <c r="G62" s="26"/>
      <c r="H62" s="26"/>
      <c r="I62" s="22"/>
    </row>
    <row r="63" spans="2:9" x14ac:dyDescent="0.35">
      <c r="B63" s="11">
        <v>59</v>
      </c>
      <c r="C63" s="5" t="s">
        <v>59</v>
      </c>
      <c r="D63" s="6" t="s">
        <v>58</v>
      </c>
      <c r="E63" s="22" t="s">
        <v>92</v>
      </c>
      <c r="F63" s="22">
        <v>280</v>
      </c>
      <c r="G63" s="26">
        <f t="shared" si="0"/>
        <v>14</v>
      </c>
      <c r="H63" s="24">
        <v>145</v>
      </c>
      <c r="I63" s="22">
        <v>100</v>
      </c>
    </row>
    <row r="64" spans="2:9" x14ac:dyDescent="0.35">
      <c r="B64" s="12">
        <v>60</v>
      </c>
      <c r="C64" s="5" t="s">
        <v>89</v>
      </c>
      <c r="D64" s="6" t="s">
        <v>88</v>
      </c>
      <c r="E64" s="22" t="s">
        <v>92</v>
      </c>
      <c r="F64" s="22">
        <v>80</v>
      </c>
      <c r="G64" s="26">
        <f t="shared" si="0"/>
        <v>4</v>
      </c>
      <c r="H64" s="24">
        <v>125</v>
      </c>
      <c r="I64" s="22">
        <v>200</v>
      </c>
    </row>
    <row r="65" spans="2:9" x14ac:dyDescent="0.35">
      <c r="B65" s="12">
        <v>61</v>
      </c>
      <c r="C65" s="5" t="s">
        <v>155</v>
      </c>
      <c r="D65" s="8" t="s">
        <v>62</v>
      </c>
      <c r="E65" s="22" t="s">
        <v>92</v>
      </c>
      <c r="F65" s="22">
        <v>135</v>
      </c>
      <c r="G65" s="26">
        <f t="shared" si="0"/>
        <v>6.75</v>
      </c>
      <c r="H65" s="24">
        <v>135</v>
      </c>
      <c r="I65" s="22">
        <v>60</v>
      </c>
    </row>
    <row r="66" spans="2:9" ht="15.5" x14ac:dyDescent="0.35">
      <c r="B66" s="11">
        <v>62</v>
      </c>
      <c r="C66" s="16" t="s">
        <v>135</v>
      </c>
      <c r="D66" s="15" t="s">
        <v>48</v>
      </c>
      <c r="E66" s="22"/>
      <c r="F66" s="22"/>
      <c r="G66" s="26"/>
      <c r="H66" s="24"/>
      <c r="I66" s="22"/>
    </row>
    <row r="67" spans="2:9" x14ac:dyDescent="0.35">
      <c r="B67" s="12">
        <v>63</v>
      </c>
      <c r="C67" s="5" t="s">
        <v>66</v>
      </c>
      <c r="D67" s="3" t="s">
        <v>65</v>
      </c>
      <c r="E67" s="22" t="s">
        <v>92</v>
      </c>
      <c r="F67" s="22">
        <v>116</v>
      </c>
      <c r="G67" s="26">
        <f t="shared" si="0"/>
        <v>5.8</v>
      </c>
      <c r="H67" s="24">
        <v>108</v>
      </c>
      <c r="I67" s="22">
        <v>60</v>
      </c>
    </row>
    <row r="68" spans="2:9" x14ac:dyDescent="0.35">
      <c r="B68" s="12">
        <v>64</v>
      </c>
      <c r="C68" s="7" t="s">
        <v>138</v>
      </c>
      <c r="D68" s="6" t="s">
        <v>67</v>
      </c>
      <c r="E68" s="22" t="s">
        <v>92</v>
      </c>
      <c r="F68" s="22">
        <v>90</v>
      </c>
      <c r="G68" s="26">
        <f t="shared" si="0"/>
        <v>4.5</v>
      </c>
      <c r="H68" s="24">
        <v>110</v>
      </c>
      <c r="I68" s="22">
        <v>200</v>
      </c>
    </row>
    <row r="69" spans="2:9" x14ac:dyDescent="0.35">
      <c r="B69" s="11">
        <v>65</v>
      </c>
      <c r="C69" s="7" t="s">
        <v>139</v>
      </c>
      <c r="D69" s="6" t="s">
        <v>86</v>
      </c>
      <c r="E69" s="22" t="s">
        <v>92</v>
      </c>
      <c r="F69" s="22">
        <v>160</v>
      </c>
      <c r="G69" s="26">
        <f t="shared" si="0"/>
        <v>8</v>
      </c>
      <c r="H69" s="24">
        <v>160</v>
      </c>
      <c r="I69" s="22">
        <v>200</v>
      </c>
    </row>
    <row r="70" spans="2:9" x14ac:dyDescent="0.35">
      <c r="B70" s="12">
        <v>66</v>
      </c>
      <c r="C70" s="20" t="s">
        <v>69</v>
      </c>
      <c r="D70" s="6" t="s">
        <v>68</v>
      </c>
      <c r="E70" s="22" t="s">
        <v>92</v>
      </c>
      <c r="F70" s="22">
        <v>110</v>
      </c>
      <c r="G70" s="26">
        <f t="shared" ref="G70:G92" si="1">F70/20</f>
        <v>5.5</v>
      </c>
      <c r="H70" s="24">
        <v>85</v>
      </c>
      <c r="I70" s="25">
        <v>250</v>
      </c>
    </row>
    <row r="71" spans="2:9" x14ac:dyDescent="0.35">
      <c r="B71" s="12">
        <v>67</v>
      </c>
      <c r="C71" s="18" t="s">
        <v>129</v>
      </c>
      <c r="D71" s="6" t="s">
        <v>106</v>
      </c>
      <c r="E71" s="22" t="s">
        <v>92</v>
      </c>
      <c r="F71" s="22">
        <v>95</v>
      </c>
      <c r="G71" s="26">
        <f t="shared" si="1"/>
        <v>4.75</v>
      </c>
      <c r="H71" s="24">
        <v>14</v>
      </c>
      <c r="I71" s="25">
        <v>200</v>
      </c>
    </row>
    <row r="72" spans="2:9" x14ac:dyDescent="0.35">
      <c r="B72" s="11">
        <v>68</v>
      </c>
      <c r="C72" s="18" t="s">
        <v>153</v>
      </c>
      <c r="D72" s="5" t="s">
        <v>70</v>
      </c>
      <c r="E72" s="22" t="s">
        <v>92</v>
      </c>
      <c r="F72" s="22">
        <v>80</v>
      </c>
      <c r="G72" s="26">
        <f t="shared" si="1"/>
        <v>4</v>
      </c>
      <c r="H72" s="24">
        <v>130</v>
      </c>
      <c r="I72" s="22">
        <v>250</v>
      </c>
    </row>
    <row r="73" spans="2:9" x14ac:dyDescent="0.35">
      <c r="B73" s="12">
        <v>69</v>
      </c>
      <c r="C73" s="18" t="s">
        <v>72</v>
      </c>
      <c r="D73" s="8" t="s">
        <v>71</v>
      </c>
      <c r="E73" s="22" t="s">
        <v>92</v>
      </c>
      <c r="F73" s="22">
        <v>130</v>
      </c>
      <c r="G73" s="26">
        <f t="shared" si="1"/>
        <v>6.5</v>
      </c>
      <c r="H73" s="24">
        <v>320</v>
      </c>
      <c r="I73" s="22">
        <v>200</v>
      </c>
    </row>
    <row r="74" spans="2:9" x14ac:dyDescent="0.35">
      <c r="B74" s="12">
        <v>70</v>
      </c>
      <c r="C74" s="19" t="s">
        <v>74</v>
      </c>
      <c r="D74" s="8" t="s">
        <v>73</v>
      </c>
      <c r="E74" s="22" t="s">
        <v>92</v>
      </c>
      <c r="F74" s="22">
        <v>440</v>
      </c>
      <c r="G74" s="26">
        <f t="shared" si="1"/>
        <v>22</v>
      </c>
      <c r="H74" s="24">
        <v>260</v>
      </c>
      <c r="I74" s="22">
        <v>200</v>
      </c>
    </row>
    <row r="75" spans="2:9" x14ac:dyDescent="0.35">
      <c r="B75" s="11">
        <v>71</v>
      </c>
      <c r="C75" s="18" t="s">
        <v>78</v>
      </c>
      <c r="D75" s="8" t="s">
        <v>77</v>
      </c>
      <c r="E75" s="22" t="s">
        <v>92</v>
      </c>
      <c r="F75" s="22">
        <v>78</v>
      </c>
      <c r="G75" s="26">
        <f t="shared" si="1"/>
        <v>3.9</v>
      </c>
      <c r="H75" s="24">
        <v>60</v>
      </c>
      <c r="I75" s="22">
        <v>200</v>
      </c>
    </row>
    <row r="76" spans="2:9" x14ac:dyDescent="0.35">
      <c r="B76" s="12">
        <v>72</v>
      </c>
      <c r="C76" s="18" t="s">
        <v>80</v>
      </c>
      <c r="D76" s="8" t="s">
        <v>79</v>
      </c>
      <c r="E76" s="22" t="s">
        <v>92</v>
      </c>
      <c r="F76" s="22">
        <v>140</v>
      </c>
      <c r="G76" s="26">
        <f t="shared" si="1"/>
        <v>7</v>
      </c>
      <c r="H76" s="24">
        <v>95</v>
      </c>
      <c r="I76" s="22">
        <v>100</v>
      </c>
    </row>
    <row r="77" spans="2:9" x14ac:dyDescent="0.35">
      <c r="B77" s="12">
        <v>73</v>
      </c>
      <c r="C77" s="18" t="s">
        <v>76</v>
      </c>
      <c r="D77" s="8" t="s">
        <v>75</v>
      </c>
      <c r="E77" s="22" t="s">
        <v>92</v>
      </c>
      <c r="F77" s="25">
        <v>100</v>
      </c>
      <c r="G77" s="26">
        <f t="shared" si="1"/>
        <v>5</v>
      </c>
      <c r="H77" s="24">
        <v>90</v>
      </c>
      <c r="I77" s="22">
        <v>200</v>
      </c>
    </row>
    <row r="78" spans="2:9" x14ac:dyDescent="0.35">
      <c r="B78" s="11">
        <v>74</v>
      </c>
      <c r="C78" s="5" t="s">
        <v>170</v>
      </c>
      <c r="D78" s="8" t="s">
        <v>145</v>
      </c>
      <c r="E78" s="22" t="s">
        <v>105</v>
      </c>
      <c r="F78" s="25">
        <v>500</v>
      </c>
      <c r="G78" s="26">
        <f>F78/60</f>
        <v>8.3333333333333339</v>
      </c>
      <c r="H78" s="26">
        <v>152</v>
      </c>
      <c r="I78" s="22">
        <v>50</v>
      </c>
    </row>
    <row r="79" spans="2:9" x14ac:dyDescent="0.35">
      <c r="B79" s="12">
        <v>75</v>
      </c>
      <c r="C79" s="5" t="s">
        <v>159</v>
      </c>
      <c r="D79" s="8" t="s">
        <v>160</v>
      </c>
      <c r="E79" s="22" t="s">
        <v>92</v>
      </c>
      <c r="F79" s="23">
        <v>60</v>
      </c>
      <c r="G79" s="26">
        <f t="shared" si="1"/>
        <v>3</v>
      </c>
      <c r="H79" s="26">
        <v>60</v>
      </c>
      <c r="I79" s="22">
        <v>250</v>
      </c>
    </row>
    <row r="80" spans="2:9" x14ac:dyDescent="0.35">
      <c r="B80" s="12">
        <v>76</v>
      </c>
      <c r="C80" s="5" t="s">
        <v>166</v>
      </c>
      <c r="D80" s="6" t="s">
        <v>182</v>
      </c>
      <c r="E80" s="22" t="s">
        <v>122</v>
      </c>
      <c r="F80" s="22">
        <v>300</v>
      </c>
      <c r="G80" s="26">
        <f>F80/30</f>
        <v>10</v>
      </c>
      <c r="H80" s="26">
        <v>220</v>
      </c>
      <c r="I80" s="22">
        <v>100</v>
      </c>
    </row>
    <row r="81" spans="2:9" x14ac:dyDescent="0.35">
      <c r="B81" s="11">
        <v>77</v>
      </c>
      <c r="C81" s="5" t="s">
        <v>175</v>
      </c>
      <c r="D81" s="21" t="s">
        <v>183</v>
      </c>
      <c r="E81" s="22" t="s">
        <v>174</v>
      </c>
      <c r="F81" s="22">
        <v>300</v>
      </c>
      <c r="G81" s="26">
        <f t="shared" si="1"/>
        <v>15</v>
      </c>
      <c r="H81" s="26">
        <v>165</v>
      </c>
      <c r="I81" s="22"/>
    </row>
    <row r="82" spans="2:9" x14ac:dyDescent="0.35">
      <c r="B82" s="12">
        <v>78</v>
      </c>
      <c r="C82" s="5" t="s">
        <v>192</v>
      </c>
      <c r="D82" s="6" t="s">
        <v>185</v>
      </c>
      <c r="E82" s="22" t="s">
        <v>156</v>
      </c>
      <c r="F82" s="22">
        <v>135</v>
      </c>
      <c r="G82" s="26">
        <f>F82/40</f>
        <v>3.375</v>
      </c>
      <c r="H82" s="26">
        <v>28</v>
      </c>
      <c r="I82" s="22">
        <v>40</v>
      </c>
    </row>
    <row r="83" spans="2:9" x14ac:dyDescent="0.35">
      <c r="B83" s="12">
        <v>79</v>
      </c>
      <c r="C83" s="5" t="s">
        <v>191</v>
      </c>
      <c r="D83" s="21" t="s">
        <v>184</v>
      </c>
      <c r="E83" s="22" t="s">
        <v>156</v>
      </c>
      <c r="F83" s="22">
        <v>195</v>
      </c>
      <c r="G83" s="26">
        <f>F83/40</f>
        <v>4.875</v>
      </c>
      <c r="H83" s="26">
        <v>76</v>
      </c>
      <c r="I83" s="22"/>
    </row>
    <row r="84" spans="2:9" x14ac:dyDescent="0.35">
      <c r="B84" s="11">
        <v>80</v>
      </c>
      <c r="C84" s="5" t="s">
        <v>176</v>
      </c>
      <c r="D84" s="8" t="s">
        <v>167</v>
      </c>
      <c r="E84" s="22" t="s">
        <v>92</v>
      </c>
      <c r="F84" s="22">
        <v>80</v>
      </c>
      <c r="G84" s="26">
        <f t="shared" si="1"/>
        <v>4</v>
      </c>
      <c r="H84" s="26" t="s">
        <v>193</v>
      </c>
      <c r="I84" s="22"/>
    </row>
    <row r="85" spans="2:9" x14ac:dyDescent="0.35">
      <c r="B85" s="12">
        <v>81</v>
      </c>
      <c r="C85" s="5" t="s">
        <v>177</v>
      </c>
      <c r="D85" s="8" t="s">
        <v>168</v>
      </c>
      <c r="E85" s="22" t="s">
        <v>92</v>
      </c>
      <c r="F85" s="22">
        <v>150</v>
      </c>
      <c r="G85" s="26">
        <f t="shared" si="1"/>
        <v>7.5</v>
      </c>
      <c r="H85" s="26" t="s">
        <v>193</v>
      </c>
      <c r="I85" s="22"/>
    </row>
    <row r="86" spans="2:9" x14ac:dyDescent="0.35">
      <c r="B86" s="12">
        <v>82</v>
      </c>
      <c r="C86" s="5" t="s">
        <v>178</v>
      </c>
      <c r="D86" s="8" t="s">
        <v>179</v>
      </c>
      <c r="E86" s="22" t="s">
        <v>92</v>
      </c>
      <c r="F86" s="22">
        <v>60</v>
      </c>
      <c r="G86" s="26">
        <f t="shared" si="1"/>
        <v>3</v>
      </c>
      <c r="H86" s="26">
        <v>37</v>
      </c>
      <c r="I86" s="22"/>
    </row>
    <row r="87" spans="2:9" x14ac:dyDescent="0.35">
      <c r="B87" s="11">
        <v>83</v>
      </c>
      <c r="C87" s="5" t="s">
        <v>169</v>
      </c>
      <c r="D87" s="6" t="s">
        <v>186</v>
      </c>
      <c r="E87" s="22" t="s">
        <v>104</v>
      </c>
      <c r="F87" s="22">
        <v>105</v>
      </c>
      <c r="G87" s="26">
        <f>F87/30</f>
        <v>3.5</v>
      </c>
      <c r="H87" s="26">
        <v>95</v>
      </c>
      <c r="I87" s="22"/>
    </row>
    <row r="88" spans="2:9" x14ac:dyDescent="0.35">
      <c r="B88" s="12">
        <v>84</v>
      </c>
      <c r="C88" s="5" t="s">
        <v>157</v>
      </c>
      <c r="D88" s="21" t="s">
        <v>187</v>
      </c>
      <c r="E88" s="22" t="s">
        <v>158</v>
      </c>
      <c r="F88" s="23">
        <v>105</v>
      </c>
      <c r="G88" s="26">
        <f>F88/60</f>
        <v>1.75</v>
      </c>
      <c r="H88" s="26">
        <v>40</v>
      </c>
      <c r="I88" s="22"/>
    </row>
    <row r="89" spans="2:9" x14ac:dyDescent="0.35">
      <c r="B89" s="12">
        <v>85</v>
      </c>
      <c r="C89" s="5" t="s">
        <v>173</v>
      </c>
      <c r="D89" s="21" t="s">
        <v>187</v>
      </c>
      <c r="E89" s="22" t="s">
        <v>158</v>
      </c>
      <c r="F89" s="23">
        <v>120</v>
      </c>
      <c r="G89" s="26">
        <f>F89/60</f>
        <v>2</v>
      </c>
      <c r="H89" s="26">
        <v>50</v>
      </c>
      <c r="I89" s="22"/>
    </row>
    <row r="90" spans="2:9" x14ac:dyDescent="0.35">
      <c r="B90" s="11">
        <v>86</v>
      </c>
      <c r="C90" s="5" t="s">
        <v>165</v>
      </c>
      <c r="D90" s="8" t="s">
        <v>181</v>
      </c>
      <c r="E90" s="22" t="s">
        <v>92</v>
      </c>
      <c r="F90" s="22">
        <v>110</v>
      </c>
      <c r="G90" s="26">
        <f t="shared" si="1"/>
        <v>5.5</v>
      </c>
      <c r="H90" s="26">
        <v>145</v>
      </c>
      <c r="I90" s="22"/>
    </row>
    <row r="91" spans="2:9" x14ac:dyDescent="0.35">
      <c r="B91" s="12">
        <v>87</v>
      </c>
      <c r="C91" s="5" t="s">
        <v>171</v>
      </c>
      <c r="D91" s="21" t="s">
        <v>188</v>
      </c>
      <c r="E91" s="22" t="s">
        <v>92</v>
      </c>
      <c r="F91" s="22">
        <v>1100</v>
      </c>
      <c r="G91" s="26">
        <f t="shared" si="1"/>
        <v>55</v>
      </c>
      <c r="H91" s="26">
        <v>425</v>
      </c>
      <c r="I91" s="22"/>
    </row>
    <row r="92" spans="2:9" x14ac:dyDescent="0.35">
      <c r="B92" s="12">
        <v>88</v>
      </c>
      <c r="C92" s="5" t="s">
        <v>180</v>
      </c>
      <c r="D92" s="8" t="s">
        <v>172</v>
      </c>
      <c r="E92" s="22" t="s">
        <v>92</v>
      </c>
      <c r="F92" s="22">
        <v>110</v>
      </c>
      <c r="G92" s="26">
        <f t="shared" si="1"/>
        <v>5.5</v>
      </c>
      <c r="H92" s="26">
        <v>110</v>
      </c>
      <c r="I92" s="22"/>
    </row>
  </sheetData>
  <sortState xmlns:xlrd2="http://schemas.microsoft.com/office/spreadsheetml/2017/richdata2" ref="C6:H78">
    <sortCondition ref="C5"/>
  </sortState>
  <mergeCells count="6">
    <mergeCell ref="B3:B4"/>
    <mergeCell ref="C3:D3"/>
    <mergeCell ref="E3:F3"/>
    <mergeCell ref="H3:H4"/>
    <mergeCell ref="B2:I2"/>
    <mergeCell ref="I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PTD</vt:lpstr>
      <vt:lpstr>PTD!Print_Titles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jain</dc:creator>
  <cp:lastModifiedBy>deepak mehta</cp:lastModifiedBy>
  <cp:lastPrinted>2024-04-16T08:22:24Z</cp:lastPrinted>
  <dcterms:created xsi:type="dcterms:W3CDTF">2023-07-03T05:16:06Z</dcterms:created>
  <dcterms:modified xsi:type="dcterms:W3CDTF">2024-06-03T09:14:04Z</dcterms:modified>
</cp:coreProperties>
</file>